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Model" sheetId="2" state="visible" r:id="rId4"/>
    <sheet name="Valuation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" authorId="0">
      <text>
        <r>
          <rPr>
            <sz val="10"/>
            <rFont val="Arial"/>
            <family val="2"/>
          </rPr>
          <t xml:space="preserve">NYSE: JPM, ~24 Jun 2026.</t>
        </r>
      </text>
    </comment>
    <comment ref="B22" authorId="0">
      <text>
        <r>
          <rPr>
            <sz val="10"/>
            <rFont val="Arial"/>
            <family val="2"/>
          </rPr>
          <t xml:space="preserve">JPM's recent reported ROE. The key judgement call.</t>
        </r>
      </text>
    </comment>
    <comment ref="B33" authorId="0">
      <text>
        <r>
          <rPr>
            <sz val="10"/>
            <rFont val="Arial"/>
            <family val="2"/>
          </rPr>
          <t xml:space="preserve">Back-solve P/B=(ROE-g)/(COE-g) for ROE. If near JPM's actual ROE, the market already prices peak returns.</t>
        </r>
      </text>
    </comment>
  </commentList>
</comments>
</file>

<file path=xl/sharedStrings.xml><?xml version="1.0" encoding="utf-8"?>
<sst xmlns="http://schemas.openxmlformats.org/spreadsheetml/2006/main" count="106" uniqueCount="106">
  <si>
    <t xml:space="preserve">JPMorgan Chase &amp; Co. (NYSE: JPM)</t>
  </si>
  <si>
    <t xml:space="preserve">Bank Analysis &amp; Valuation — lite version (FY2022-25 history + one valuation method)</t>
  </si>
  <si>
    <t xml:space="preserve">WHAT THIS IS</t>
  </si>
  <si>
    <t xml:space="preserve">A focused, defensible bank case: four years of JPM's actual results, the key bank ratios computed from</t>
  </si>
  <si>
    <t xml:space="preserve">the source data, and one valuation method (justified P/B vs ROE). Built to be understood end-to-end.</t>
  </si>
  <si>
    <t xml:space="preserve">HOW IT IS BUILT  (read this — it answers 'did you just hardcode it?')</t>
  </si>
  <si>
    <t xml:space="preserve">Only genuine reported facts are typed in (blue): revenue, expense, provision, net income, share counts,</t>
  </si>
  <si>
    <t xml:space="preserve">book value. Everything that can be derived is a live formula (black): noninterest revenue, pre-provision</t>
  </si>
  <si>
    <t xml:space="preserve">profit, pre-tax, the tax plug, EPS, common &amp; tangible equity, ROE, ROTCE, efficiency, credit cost — and</t>
  </si>
  <si>
    <t xml:space="preserve">the entire valuation. Change any blue cell and the model recomputes.</t>
  </si>
  <si>
    <t xml:space="preserve">THE ONE IDEA TO OWN</t>
  </si>
  <si>
    <t xml:space="preserve">A bank cannot be valued like a normal company. Deposits are raw material, not financing, so there is no</t>
  </si>
  <si>
    <t xml:space="preserve">enterprise value and no standard free-cash-flow DCF. You value the equity directly:</t>
  </si>
  <si>
    <t xml:space="preserve">     Justified P/B  =  (ROE - g) / (Cost of equity - g)</t>
  </si>
  <si>
    <t xml:space="preserve">A bank earning a higher ROE than its cost of equity is worth more than book. That one relationship</t>
  </si>
  <si>
    <t xml:space="preserve">explains why strong banks trade above book and weak ones below.</t>
  </si>
  <si>
    <t xml:space="preserve">HOW TO DEFEND IT</t>
  </si>
  <si>
    <t xml:space="preserve">Explain three things cold: (1) why the bank method differs from a normal DCF; (2) where cost of equity</t>
  </si>
  <si>
    <t xml:space="preserve">and normalised ROE come from; (3) why the call is a Hold. Then change the blue cells and watch the</t>
  </si>
  <si>
    <t xml:space="preserve">target move — that sensitivity is the strongest thing to talk through.</t>
  </si>
  <si>
    <t xml:space="preserve">VERIFY  /  SOURCES</t>
  </si>
  <si>
    <t xml:space="preserve">Income-statement and per-share data: JPM FY2022 &amp; FY2025 Annual Reports and quarterly releases.</t>
  </si>
  <si>
    <t xml:space="preserve">NII is managed basis; reconcile to reported in the 10-K. Loans/deposits are approximate averages.</t>
  </si>
  <si>
    <t xml:space="preserve">Price ~$334 (Jun 2026). All figures illustrative — re-derive before quoting in an interview.</t>
  </si>
  <si>
    <t xml:space="preserve">JPMorgan Chase &amp; Co.  —  Historicals &amp; Ratios</t>
  </si>
  <si>
    <t xml:space="preserve">$ in millions unless stated  |  FY ends 31 Dec  |  blue = reported input, black = formula</t>
  </si>
  <si>
    <t xml:space="preserve">FY2022</t>
  </si>
  <si>
    <t xml:space="preserve">FY2023</t>
  </si>
  <si>
    <t xml:space="preserve">FY2024</t>
  </si>
  <si>
    <t xml:space="preserve">FY2025</t>
  </si>
  <si>
    <t xml:space="preserve">Notes</t>
  </si>
  <si>
    <t xml:space="preserve">INCOME STATEMENT ($mm)</t>
  </si>
  <si>
    <t xml:space="preserve">Net interest income (managed)</t>
  </si>
  <si>
    <t xml:space="preserve">Managed basis (FY results).</t>
  </si>
  <si>
    <t xml:space="preserve">Noninterest revenue</t>
  </si>
  <si>
    <t xml:space="preserve">Total revenue less NII.</t>
  </si>
  <si>
    <t xml:space="preserve">Total net revenue</t>
  </si>
  <si>
    <t xml:space="preserve">Reported total net revenue (Annual Reports).</t>
  </si>
  <si>
    <t xml:space="preserve">Noninterest expense</t>
  </si>
  <si>
    <t xml:space="preserve">Pre-provision profit</t>
  </si>
  <si>
    <t xml:space="preserve">Provision for credit losses</t>
  </si>
  <si>
    <t xml:space="preserve">Pre-tax income</t>
  </si>
  <si>
    <t xml:space="preserve">Income tax (derived)</t>
  </si>
  <si>
    <t xml:space="preserve">Pre-tax less reported net income (the plug).</t>
  </si>
  <si>
    <t xml:space="preserve">Net income</t>
  </si>
  <si>
    <t xml:space="preserve">Reported net income.</t>
  </si>
  <si>
    <t xml:space="preserve">Preferred dividends</t>
  </si>
  <si>
    <t xml:space="preserve">Net income to common</t>
  </si>
  <si>
    <t xml:space="preserve">PER SHARE &amp; RETURNS</t>
  </si>
  <si>
    <t xml:space="preserve">Avg diluted shares (mm)</t>
  </si>
  <si>
    <t xml:space="preserve">Reported diluted share count.</t>
  </si>
  <si>
    <t xml:space="preserve">Diluted EPS ($)</t>
  </si>
  <si>
    <t xml:space="preserve">NI to common div by shares; ties to reported EPS.</t>
  </si>
  <si>
    <t xml:space="preserve">Dividend per share ($)</t>
  </si>
  <si>
    <t xml:space="preserve">Book value per share ($)</t>
  </si>
  <si>
    <t xml:space="preserve">Tangible BVPS ($)</t>
  </si>
  <si>
    <t xml:space="preserve">Period-end shares (mm)</t>
  </si>
  <si>
    <t xml:space="preserve">Period-end common shares.</t>
  </si>
  <si>
    <t xml:space="preserve">Common equity ($mm)</t>
  </si>
  <si>
    <t xml:space="preserve">BVPS x period-end shares.</t>
  </si>
  <si>
    <t xml:space="preserve">Avg common equity ($mm)</t>
  </si>
  <si>
    <t xml:space="preserve">Tangible common equity ($mm)</t>
  </si>
  <si>
    <t xml:space="preserve">Avg tangible common equity ($mm)</t>
  </si>
  <si>
    <t xml:space="preserve">ROE (%)</t>
  </si>
  <si>
    <t xml:space="preserve">2022 reported (base year); 2023-25 computed on avg equity.</t>
  </si>
  <si>
    <t xml:space="preserve">ROTCE (%)</t>
  </si>
  <si>
    <t xml:space="preserve">KEY RATIOS &amp; SCALE</t>
  </si>
  <si>
    <t xml:space="preserve">Avg loans ($B)</t>
  </si>
  <si>
    <t xml:space="preserve">Approx average; reconcile to 10-K.</t>
  </si>
  <si>
    <t xml:space="preserve">Avg deposits ($B)</t>
  </si>
  <si>
    <t xml:space="preserve">Efficiency ratio (%)</t>
  </si>
  <si>
    <t xml:space="preserve">Expense div by total revenue.</t>
  </si>
  <si>
    <t xml:space="preserve">Credit cost (% avg loans)</t>
  </si>
  <si>
    <t xml:space="preserve">Provision div by avg loans.</t>
  </si>
  <si>
    <t xml:space="preserve">Net interest margin (%)</t>
  </si>
  <si>
    <t xml:space="preserve">Reported (2022 approx).</t>
  </si>
  <si>
    <t xml:space="preserve">CET1 ratio (%)</t>
  </si>
  <si>
    <t xml:space="preserve">JPMorgan Chase &amp; Co.  —  Valuation</t>
  </si>
  <si>
    <t xml:space="preserve">One method: justified P/B vs ROE, applied to FY2025 book value. Green = linked from Model.</t>
  </si>
  <si>
    <t xml:space="preserve">MARKET (Jun 2026)</t>
  </si>
  <si>
    <t xml:space="preserve">Share price ($)</t>
  </si>
  <si>
    <t xml:space="preserve">Shares outstanding (mm)</t>
  </si>
  <si>
    <t xml:space="preserve">Market cap ($mm)</t>
  </si>
  <si>
    <t xml:space="preserve">CURRENT MULTIPLES (FY2025 actuals)</t>
  </si>
  <si>
    <t xml:space="preserve">P/E (trailing)</t>
  </si>
  <si>
    <t xml:space="preserve">P/B</t>
  </si>
  <si>
    <t xml:space="preserve">P/TBV</t>
  </si>
  <si>
    <t xml:space="preserve">Dividend yield</t>
  </si>
  <si>
    <t xml:space="preserve">COST OF EQUITY (CAPM)</t>
  </si>
  <si>
    <t xml:space="preserve">Risk-free rate (10Y UST)</t>
  </si>
  <si>
    <t xml:space="preserve">Beta</t>
  </si>
  <si>
    <t xml:space="preserve">Equity risk premium</t>
  </si>
  <si>
    <t xml:space="preserve">Cost of equity (COE)</t>
  </si>
  <si>
    <t xml:space="preserve">VALUATION ASSUMPTIONS</t>
  </si>
  <si>
    <t xml:space="preserve">Normalised ROE</t>
  </si>
  <si>
    <t xml:space="preserve">Long-term growth (g)</t>
  </si>
  <si>
    <t xml:space="preserve">FY2025 book value/share ($)</t>
  </si>
  <si>
    <t xml:space="preserve">JUSTIFIED P/B VALUATION</t>
  </si>
  <si>
    <t xml:space="preserve">Justified P/B = (ROE - g)/(COE - g)</t>
  </si>
  <si>
    <t xml:space="preserve">Target price = Justified P/B x BVPS</t>
  </si>
  <si>
    <t xml:space="preserve">Upside / (downside) vs price</t>
  </si>
  <si>
    <t xml:space="preserve">Rating</t>
  </si>
  <si>
    <t xml:space="preserve">REALITY CHECK — what ROE does today's price imply?</t>
  </si>
  <si>
    <t xml:space="preserve">Market-implied ROE at current price</t>
  </si>
  <si>
    <t xml:space="preserve">SENSITIVITY — target price ($):  rows = COE,  cols = normalised ROE</t>
  </si>
  <si>
    <t xml:space="preserve">COE \ ROE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</si>
</sst>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;\(#,##0\);\-"/>
    <numFmt numFmtId="166" formatCode="\$#,##0.00;&quot;($&quot;#,##0.00\);\-"/>
    <numFmt numFmtId="167" formatCode="0.0%;\(0.0%\);\-"/>
    <numFmt numFmtId="168" formatCode="0.00\x"/>
    <numFmt numFmtId="169" formatCode="0.00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2A44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1"/>
      <color rgb="FF1F2A44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2A44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8"/>
      <color rgb="FF595959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9"/>
      <color rgb="FF595959"/>
      <name val="Arial"/>
      <family val="0"/>
      <charset val="1"/>
    </font>
    <font>
      <b val="true"/>
      <sz val="9"/>
      <color rgb="FF0000FF"/>
      <name val="Arial"/>
      <family val="0"/>
      <charset val="1"/>
    </font>
    <font>
      <sz val="9"/>
      <color rgb="FF000000"/>
      <name val="Arial"/>
      <family val="0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2A44"/>
        <bgColor rgb="FF404040"/>
      </patternFill>
    </fill>
    <fill>
      <patternFill patternType="solid">
        <fgColor rgb="FF595959"/>
        <bgColor rgb="FF404040"/>
      </patternFill>
    </fill>
    <fill>
      <patternFill patternType="solid">
        <fgColor rgb="FFEEF1F6"/>
        <bgColor rgb="FFFFFFFF"/>
      </patternFill>
    </fill>
    <fill>
      <patternFill patternType="solid">
        <fgColor rgb="FFFFF2CC"/>
        <bgColor rgb="FFEEF1F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40404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11" fillId="3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11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5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5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5" fontId="1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2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3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5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20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EF1F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2A4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0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15" hidden="false" customHeight="false" outlineLevel="0" collapsed="false">
      <c r="B6" s="4" t="s">
        <v>3</v>
      </c>
    </row>
    <row r="7" customFormat="false" ht="15" hidden="false" customHeight="false" outlineLevel="0" collapsed="false">
      <c r="B7" s="4" t="s">
        <v>4</v>
      </c>
    </row>
    <row r="9" customFormat="false" ht="15" hidden="false" customHeight="false" outlineLevel="0" collapsed="false">
      <c r="B9" s="3" t="s">
        <v>5</v>
      </c>
    </row>
    <row r="10" customFormat="false" ht="15" hidden="false" customHeight="false" outlineLevel="0" collapsed="false">
      <c r="B10" s="4" t="s">
        <v>6</v>
      </c>
    </row>
    <row r="11" customFormat="false" ht="15" hidden="false" customHeight="false" outlineLevel="0" collapsed="false">
      <c r="B11" s="4" t="s">
        <v>7</v>
      </c>
    </row>
    <row r="12" customFormat="false" ht="15" hidden="false" customHeight="false" outlineLevel="0" collapsed="false">
      <c r="B12" s="4" t="s">
        <v>8</v>
      </c>
    </row>
    <row r="13" customFormat="false" ht="15" hidden="false" customHeight="false" outlineLevel="0" collapsed="false">
      <c r="B13" s="4" t="s">
        <v>9</v>
      </c>
    </row>
    <row r="15" customFormat="false" ht="15" hidden="false" customHeight="false" outlineLevel="0" collapsed="false">
      <c r="B15" s="3" t="s">
        <v>10</v>
      </c>
    </row>
    <row r="16" customFormat="false" ht="15" hidden="false" customHeight="false" outlineLevel="0" collapsed="false">
      <c r="B16" s="4" t="s">
        <v>11</v>
      </c>
    </row>
    <row r="17" customFormat="false" ht="15" hidden="false" customHeight="false" outlineLevel="0" collapsed="false">
      <c r="B17" s="4" t="s">
        <v>12</v>
      </c>
    </row>
    <row r="18" customFormat="false" ht="15" hidden="false" customHeight="false" outlineLevel="0" collapsed="false">
      <c r="B18" s="3" t="s">
        <v>13</v>
      </c>
    </row>
    <row r="19" customFormat="false" ht="15" hidden="false" customHeight="false" outlineLevel="0" collapsed="false">
      <c r="B19" s="4" t="s">
        <v>14</v>
      </c>
    </row>
    <row r="20" customFormat="false" ht="15" hidden="false" customHeight="false" outlineLevel="0" collapsed="false">
      <c r="B20" s="4" t="s">
        <v>15</v>
      </c>
    </row>
    <row r="22" customFormat="false" ht="15" hidden="false" customHeight="false" outlineLevel="0" collapsed="false">
      <c r="B22" s="3" t="s">
        <v>16</v>
      </c>
    </row>
    <row r="23" customFormat="false" ht="15" hidden="false" customHeight="false" outlineLevel="0" collapsed="false">
      <c r="B23" s="4" t="s">
        <v>17</v>
      </c>
    </row>
    <row r="24" customFormat="false" ht="15" hidden="false" customHeight="false" outlineLevel="0" collapsed="false">
      <c r="B24" s="4" t="s">
        <v>18</v>
      </c>
    </row>
    <row r="25" customFormat="false" ht="15" hidden="false" customHeight="false" outlineLevel="0" collapsed="false">
      <c r="B25" s="4" t="s">
        <v>19</v>
      </c>
    </row>
    <row r="27" customFormat="false" ht="15" hidden="false" customHeight="false" outlineLevel="0" collapsed="false">
      <c r="B27" s="3" t="s">
        <v>20</v>
      </c>
    </row>
    <row r="28" customFormat="false" ht="15" hidden="false" customHeight="false" outlineLevel="0" collapsed="false">
      <c r="B28" s="5" t="s">
        <v>21</v>
      </c>
    </row>
    <row r="29" customFormat="false" ht="15" hidden="false" customHeight="false" outlineLevel="0" collapsed="false">
      <c r="B29" s="5" t="s">
        <v>22</v>
      </c>
    </row>
    <row r="30" customFormat="false" ht="15" hidden="false" customHeight="false" outlineLevel="0" collapsed="false">
      <c r="B30" s="5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5" min="2" style="0" width="12"/>
    <col collapsed="false" customWidth="true" hidden="false" outlineLevel="0" max="6" min="6" style="0" width="2"/>
    <col collapsed="false" customWidth="true" hidden="false" outlineLevel="0" max="7" min="7" style="0" width="42"/>
  </cols>
  <sheetData>
    <row r="1" customFormat="false" ht="21.75" hidden="false" customHeight="true" outlineLevel="0" collapsed="false">
      <c r="A1" s="6" t="s">
        <v>24</v>
      </c>
      <c r="B1" s="6"/>
      <c r="C1" s="6"/>
      <c r="D1" s="6"/>
      <c r="E1" s="6"/>
      <c r="F1" s="6"/>
      <c r="G1" s="6"/>
    </row>
    <row r="2" customFormat="false" ht="15" hidden="false" customHeight="false" outlineLevel="0" collapsed="false">
      <c r="A2" s="7" t="s">
        <v>25</v>
      </c>
      <c r="B2" s="7"/>
      <c r="C2" s="7"/>
      <c r="D2" s="7"/>
      <c r="E2" s="7"/>
      <c r="F2" s="7"/>
      <c r="G2" s="7"/>
    </row>
    <row r="4" customFormat="false" ht="15" hidden="false" customHeight="false" outlineLevel="0" collapsed="false">
      <c r="A4" s="8"/>
      <c r="B4" s="9" t="s">
        <v>26</v>
      </c>
      <c r="C4" s="9" t="s">
        <v>27</v>
      </c>
      <c r="D4" s="9" t="s">
        <v>28</v>
      </c>
      <c r="E4" s="9" t="s">
        <v>29</v>
      </c>
      <c r="F4" s="10"/>
      <c r="G4" s="8" t="s">
        <v>30</v>
      </c>
    </row>
    <row r="5" customFormat="false" ht="15" hidden="false" customHeight="false" outlineLevel="0" collapsed="false">
      <c r="A5" s="11" t="s">
        <v>31</v>
      </c>
      <c r="B5" s="12"/>
      <c r="C5" s="12"/>
      <c r="D5" s="12"/>
      <c r="E5" s="12"/>
      <c r="F5" s="12"/>
      <c r="G5" s="12"/>
    </row>
    <row r="6" customFormat="false" ht="15" hidden="false" customHeight="false" outlineLevel="0" collapsed="false">
      <c r="A6" s="13" t="s">
        <v>32</v>
      </c>
      <c r="B6" s="14" t="n">
        <v>66710</v>
      </c>
      <c r="C6" s="14" t="n">
        <v>89700</v>
      </c>
      <c r="D6" s="14" t="n">
        <v>93100</v>
      </c>
      <c r="E6" s="14" t="n">
        <v>95500</v>
      </c>
      <c r="G6" s="15" t="s">
        <v>33</v>
      </c>
    </row>
    <row r="7" customFormat="false" ht="15" hidden="false" customHeight="false" outlineLevel="0" collapsed="false">
      <c r="A7" s="13" t="s">
        <v>34</v>
      </c>
      <c r="B7" s="16" t="n">
        <f aca="false">B8-B6</f>
        <v>61985</v>
      </c>
      <c r="C7" s="16" t="n">
        <f aca="false">C8-C6</f>
        <v>68404</v>
      </c>
      <c r="D7" s="16" t="n">
        <f aca="false">D8-D6</f>
        <v>84456</v>
      </c>
      <c r="E7" s="16" t="n">
        <f aca="false">E8-E6</f>
        <v>86947</v>
      </c>
      <c r="G7" s="15" t="s">
        <v>35</v>
      </c>
    </row>
    <row r="8" customFormat="false" ht="15" hidden="false" customHeight="false" outlineLevel="0" collapsed="false">
      <c r="A8" s="17" t="s">
        <v>36</v>
      </c>
      <c r="B8" s="18" t="n">
        <v>128695</v>
      </c>
      <c r="C8" s="18" t="n">
        <v>158104</v>
      </c>
      <c r="D8" s="18" t="n">
        <v>177556</v>
      </c>
      <c r="E8" s="18" t="n">
        <v>182447</v>
      </c>
      <c r="G8" s="15" t="s">
        <v>37</v>
      </c>
    </row>
    <row r="9" customFormat="false" ht="15" hidden="false" customHeight="false" outlineLevel="0" collapsed="false">
      <c r="A9" s="13" t="s">
        <v>38</v>
      </c>
      <c r="B9" s="14" t="n">
        <v>76140</v>
      </c>
      <c r="C9" s="14" t="n">
        <v>87172</v>
      </c>
      <c r="D9" s="14" t="n">
        <v>91797</v>
      </c>
      <c r="E9" s="14" t="n">
        <v>95640</v>
      </c>
    </row>
    <row r="10" customFormat="false" ht="15" hidden="false" customHeight="false" outlineLevel="0" collapsed="false">
      <c r="A10" s="17" t="s">
        <v>39</v>
      </c>
      <c r="B10" s="19" t="n">
        <f aca="false">B8-B9</f>
        <v>52555</v>
      </c>
      <c r="C10" s="19" t="n">
        <f aca="false">C8-C9</f>
        <v>70932</v>
      </c>
      <c r="D10" s="19" t="n">
        <f aca="false">D8-D9</f>
        <v>85759</v>
      </c>
      <c r="E10" s="19" t="n">
        <f aca="false">E8-E9</f>
        <v>86807</v>
      </c>
    </row>
    <row r="11" customFormat="false" ht="15" hidden="false" customHeight="false" outlineLevel="0" collapsed="false">
      <c r="A11" s="13" t="s">
        <v>40</v>
      </c>
      <c r="B11" s="14" t="n">
        <v>6389</v>
      </c>
      <c r="C11" s="14" t="n">
        <v>9320</v>
      </c>
      <c r="D11" s="14" t="n">
        <v>10678</v>
      </c>
      <c r="E11" s="14" t="n">
        <v>14212</v>
      </c>
    </row>
    <row r="12" customFormat="false" ht="15" hidden="false" customHeight="false" outlineLevel="0" collapsed="false">
      <c r="A12" s="17" t="s">
        <v>41</v>
      </c>
      <c r="B12" s="19" t="n">
        <f aca="false">B10-B11</f>
        <v>46166</v>
      </c>
      <c r="C12" s="19" t="n">
        <f aca="false">C10-C11</f>
        <v>61612</v>
      </c>
      <c r="D12" s="19" t="n">
        <f aca="false">D10-D11</f>
        <v>75081</v>
      </c>
      <c r="E12" s="19" t="n">
        <f aca="false">E10-E11</f>
        <v>72595</v>
      </c>
    </row>
    <row r="13" customFormat="false" ht="15" hidden="false" customHeight="false" outlineLevel="0" collapsed="false">
      <c r="A13" s="13" t="s">
        <v>42</v>
      </c>
      <c r="B13" s="16" t="n">
        <f aca="false">B12-B14</f>
        <v>8490</v>
      </c>
      <c r="C13" s="16" t="n">
        <f aca="false">C12-C14</f>
        <v>12060</v>
      </c>
      <c r="D13" s="16" t="n">
        <f aca="false">D12-D14</f>
        <v>16610</v>
      </c>
      <c r="E13" s="16" t="n">
        <f aca="false">E12-E14</f>
        <v>15547</v>
      </c>
      <c r="G13" s="15" t="s">
        <v>43</v>
      </c>
    </row>
    <row r="14" customFormat="false" ht="15" hidden="false" customHeight="false" outlineLevel="0" collapsed="false">
      <c r="A14" s="17" t="s">
        <v>44</v>
      </c>
      <c r="B14" s="20" t="n">
        <v>37676</v>
      </c>
      <c r="C14" s="20" t="n">
        <v>49552</v>
      </c>
      <c r="D14" s="20" t="n">
        <v>58471</v>
      </c>
      <c r="E14" s="20" t="n">
        <v>57048</v>
      </c>
      <c r="G14" s="15" t="s">
        <v>45</v>
      </c>
    </row>
    <row r="15" customFormat="false" ht="15" hidden="false" customHeight="false" outlineLevel="0" collapsed="false">
      <c r="A15" s="13" t="s">
        <v>46</v>
      </c>
      <c r="B15" s="14" t="n">
        <v>1784</v>
      </c>
      <c r="C15" s="14" t="n">
        <v>1752</v>
      </c>
      <c r="D15" s="14" t="n">
        <v>1571</v>
      </c>
      <c r="E15" s="14" t="n">
        <v>1348</v>
      </c>
    </row>
    <row r="16" customFormat="false" ht="15" hidden="false" customHeight="false" outlineLevel="0" collapsed="false">
      <c r="A16" s="17" t="s">
        <v>47</v>
      </c>
      <c r="B16" s="21" t="n">
        <f aca="false">B14-B15</f>
        <v>35892</v>
      </c>
      <c r="C16" s="21" t="n">
        <f aca="false">C14-C15</f>
        <v>47800</v>
      </c>
      <c r="D16" s="21" t="n">
        <f aca="false">D14-D15</f>
        <v>56900</v>
      </c>
      <c r="E16" s="21" t="n">
        <f aca="false">E14-E15</f>
        <v>55700</v>
      </c>
    </row>
    <row r="18" customFormat="false" ht="15" hidden="false" customHeight="false" outlineLevel="0" collapsed="false">
      <c r="A18" s="11" t="s">
        <v>48</v>
      </c>
      <c r="B18" s="12"/>
      <c r="C18" s="12"/>
      <c r="D18" s="12"/>
      <c r="E18" s="12"/>
      <c r="F18" s="12"/>
      <c r="G18" s="12"/>
    </row>
    <row r="19" customFormat="false" ht="15" hidden="false" customHeight="false" outlineLevel="0" collapsed="false">
      <c r="A19" s="13" t="s">
        <v>49</v>
      </c>
      <c r="B19" s="14" t="n">
        <v>2969</v>
      </c>
      <c r="C19" s="14" t="n">
        <v>2945</v>
      </c>
      <c r="D19" s="14" t="n">
        <v>2881</v>
      </c>
      <c r="E19" s="14" t="n">
        <v>2782</v>
      </c>
      <c r="G19" s="15" t="s">
        <v>50</v>
      </c>
    </row>
    <row r="20" customFormat="false" ht="15" hidden="false" customHeight="false" outlineLevel="0" collapsed="false">
      <c r="A20" s="17" t="s">
        <v>51</v>
      </c>
      <c r="B20" s="22" t="n">
        <f aca="false">B16/B19</f>
        <v>12.0889188278882</v>
      </c>
      <c r="C20" s="22" t="n">
        <f aca="false">C16/C19</f>
        <v>16.2308998302207</v>
      </c>
      <c r="D20" s="22" t="n">
        <f aca="false">D16/D19</f>
        <v>19.7500867754252</v>
      </c>
      <c r="E20" s="22" t="n">
        <f aca="false">E16/E19</f>
        <v>20.0215672178289</v>
      </c>
      <c r="G20" s="15" t="s">
        <v>52</v>
      </c>
    </row>
    <row r="21" customFormat="false" ht="15" hidden="false" customHeight="false" outlineLevel="0" collapsed="false">
      <c r="A21" s="13" t="s">
        <v>53</v>
      </c>
      <c r="B21" s="23" t="n">
        <v>4</v>
      </c>
      <c r="C21" s="23" t="n">
        <v>4.1</v>
      </c>
      <c r="D21" s="23" t="n">
        <v>4.8</v>
      </c>
      <c r="E21" s="23" t="n">
        <v>5.8</v>
      </c>
    </row>
    <row r="22" customFormat="false" ht="15" hidden="false" customHeight="false" outlineLevel="0" collapsed="false">
      <c r="A22" s="17" t="s">
        <v>54</v>
      </c>
      <c r="B22" s="24" t="n">
        <v>90.29</v>
      </c>
      <c r="C22" s="24" t="n">
        <v>104.45</v>
      </c>
      <c r="D22" s="24" t="n">
        <v>116.07</v>
      </c>
      <c r="E22" s="24" t="n">
        <v>126.99</v>
      </c>
    </row>
    <row r="23" customFormat="false" ht="15" hidden="false" customHeight="false" outlineLevel="0" collapsed="false">
      <c r="A23" s="13" t="s">
        <v>55</v>
      </c>
      <c r="B23" s="23" t="n">
        <v>73.12</v>
      </c>
      <c r="C23" s="23" t="n">
        <v>86.08</v>
      </c>
      <c r="D23" s="23" t="n">
        <v>97.3</v>
      </c>
      <c r="E23" s="23" t="n">
        <v>107.56</v>
      </c>
    </row>
    <row r="24" customFormat="false" ht="15" hidden="false" customHeight="false" outlineLevel="0" collapsed="false">
      <c r="A24" s="13" t="s">
        <v>56</v>
      </c>
      <c r="B24" s="14" t="n">
        <v>2929</v>
      </c>
      <c r="C24" s="14" t="n">
        <v>2898</v>
      </c>
      <c r="D24" s="14" t="n">
        <v>2788</v>
      </c>
      <c r="E24" s="14" t="n">
        <v>2695</v>
      </c>
      <c r="G24" s="15" t="s">
        <v>57</v>
      </c>
    </row>
    <row r="25" customFormat="false" ht="15" hidden="false" customHeight="false" outlineLevel="0" collapsed="false">
      <c r="A25" s="13" t="s">
        <v>58</v>
      </c>
      <c r="B25" s="16" t="n">
        <f aca="false">B22*B24</f>
        <v>264459.41</v>
      </c>
      <c r="C25" s="16" t="n">
        <f aca="false">C22*C24</f>
        <v>302696.1</v>
      </c>
      <c r="D25" s="16" t="n">
        <f aca="false">D22*D24</f>
        <v>323603.16</v>
      </c>
      <c r="E25" s="16" t="n">
        <f aca="false">E22*E24</f>
        <v>342238.05</v>
      </c>
      <c r="G25" s="15" t="s">
        <v>59</v>
      </c>
    </row>
    <row r="26" customFormat="false" ht="15" hidden="false" customHeight="false" outlineLevel="0" collapsed="false">
      <c r="A26" s="13" t="s">
        <v>60</v>
      </c>
      <c r="C26" s="16" t="n">
        <f aca="false">(B25+C25)/2</f>
        <v>283577.755</v>
      </c>
      <c r="D26" s="16" t="n">
        <f aca="false">(C25+D25)/2</f>
        <v>313149.63</v>
      </c>
      <c r="E26" s="16" t="n">
        <f aca="false">(D25+E25)/2</f>
        <v>332920.605</v>
      </c>
    </row>
    <row r="27" customFormat="false" ht="15" hidden="false" customHeight="false" outlineLevel="0" collapsed="false">
      <c r="A27" s="13" t="s">
        <v>61</v>
      </c>
      <c r="B27" s="16" t="n">
        <f aca="false">B23*B24</f>
        <v>214168.48</v>
      </c>
      <c r="C27" s="16" t="n">
        <f aca="false">C23*C24</f>
        <v>249459.84</v>
      </c>
      <c r="D27" s="16" t="n">
        <f aca="false">D23*D24</f>
        <v>271272.4</v>
      </c>
      <c r="E27" s="16" t="n">
        <f aca="false">E23*E24</f>
        <v>289874.2</v>
      </c>
    </row>
    <row r="28" customFormat="false" ht="15" hidden="false" customHeight="false" outlineLevel="0" collapsed="false">
      <c r="A28" s="13" t="s">
        <v>62</v>
      </c>
      <c r="C28" s="16" t="n">
        <f aca="false">(B27+C27)/2</f>
        <v>231814.16</v>
      </c>
      <c r="D28" s="16" t="n">
        <f aca="false">(C27+D27)/2</f>
        <v>260366.12</v>
      </c>
      <c r="E28" s="16" t="n">
        <f aca="false">(D27+E27)/2</f>
        <v>280573.3</v>
      </c>
    </row>
    <row r="29" customFormat="false" ht="15" hidden="false" customHeight="false" outlineLevel="0" collapsed="false">
      <c r="A29" s="13" t="s">
        <v>63</v>
      </c>
      <c r="B29" s="25" t="n">
        <v>0.14</v>
      </c>
      <c r="C29" s="26" t="n">
        <f aca="false">C16/C26</f>
        <v>0.168560471183644</v>
      </c>
      <c r="D29" s="26" t="n">
        <f aca="false">D16/D26</f>
        <v>0.181702274404731</v>
      </c>
      <c r="E29" s="26" t="n">
        <f aca="false">E16/E26</f>
        <v>0.167307157212453</v>
      </c>
      <c r="G29" s="15" t="s">
        <v>64</v>
      </c>
    </row>
    <row r="30" customFormat="false" ht="15" hidden="false" customHeight="false" outlineLevel="0" collapsed="false">
      <c r="A30" s="13" t="s">
        <v>65</v>
      </c>
      <c r="B30" s="25" t="n">
        <v>0.18</v>
      </c>
      <c r="C30" s="26" t="n">
        <f aca="false">C16/C28</f>
        <v>0.206199655793244</v>
      </c>
      <c r="D30" s="26" t="n">
        <f aca="false">D16/D28</f>
        <v>0.218538418132129</v>
      </c>
      <c r="E30" s="26" t="n">
        <f aca="false">E16/E28</f>
        <v>0.198522097434075</v>
      </c>
    </row>
    <row r="32" customFormat="false" ht="15" hidden="false" customHeight="false" outlineLevel="0" collapsed="false">
      <c r="A32" s="11" t="s">
        <v>66</v>
      </c>
      <c r="B32" s="12"/>
      <c r="C32" s="12"/>
      <c r="D32" s="12"/>
      <c r="E32" s="12"/>
      <c r="F32" s="12"/>
      <c r="G32" s="12"/>
    </row>
    <row r="33" customFormat="false" ht="15" hidden="false" customHeight="false" outlineLevel="0" collapsed="false">
      <c r="A33" s="13" t="s">
        <v>67</v>
      </c>
      <c r="B33" s="14" t="n">
        <v>1080</v>
      </c>
      <c r="C33" s="14" t="n">
        <v>1250</v>
      </c>
      <c r="D33" s="14" t="n">
        <v>1325</v>
      </c>
      <c r="E33" s="14" t="n">
        <v>1450</v>
      </c>
      <c r="G33" s="15" t="s">
        <v>68</v>
      </c>
    </row>
    <row r="34" customFormat="false" ht="15" hidden="false" customHeight="false" outlineLevel="0" collapsed="false">
      <c r="A34" s="13" t="s">
        <v>69</v>
      </c>
      <c r="B34" s="14" t="n">
        <v>2400</v>
      </c>
      <c r="C34" s="14" t="n">
        <v>2375</v>
      </c>
      <c r="D34" s="14" t="n">
        <v>2400</v>
      </c>
      <c r="E34" s="14" t="n">
        <v>2570</v>
      </c>
    </row>
    <row r="35" customFormat="false" ht="15" hidden="false" customHeight="false" outlineLevel="0" collapsed="false">
      <c r="A35" s="13" t="s">
        <v>70</v>
      </c>
      <c r="B35" s="26" t="n">
        <f aca="false">B9/B8</f>
        <v>0.591631376510354</v>
      </c>
      <c r="C35" s="26" t="n">
        <f aca="false">C9/C8</f>
        <v>0.551358599402925</v>
      </c>
      <c r="D35" s="26" t="n">
        <f aca="false">D9/D8</f>
        <v>0.517003086350222</v>
      </c>
      <c r="E35" s="26" t="n">
        <f aca="false">E9/E8</f>
        <v>0.524207029986791</v>
      </c>
      <c r="G35" s="15" t="s">
        <v>71</v>
      </c>
    </row>
    <row r="36" customFormat="false" ht="15" hidden="false" customHeight="false" outlineLevel="0" collapsed="false">
      <c r="A36" s="13" t="s">
        <v>72</v>
      </c>
      <c r="B36" s="26" t="n">
        <f aca="false">B11/(B33*1000)</f>
        <v>0.00591574074074074</v>
      </c>
      <c r="C36" s="26" t="n">
        <f aca="false">C11/(C33*1000)</f>
        <v>0.007456</v>
      </c>
      <c r="D36" s="26" t="n">
        <f aca="false">D11/(D33*1000)</f>
        <v>0.0080588679245283</v>
      </c>
      <c r="E36" s="26" t="n">
        <f aca="false">E11/(E33*1000)</f>
        <v>0.00980137931034483</v>
      </c>
      <c r="G36" s="15" t="s">
        <v>73</v>
      </c>
    </row>
    <row r="37" customFormat="false" ht="15" hidden="false" customHeight="false" outlineLevel="0" collapsed="false">
      <c r="A37" s="13" t="s">
        <v>74</v>
      </c>
      <c r="B37" s="25" t="n">
        <v>0.0197</v>
      </c>
      <c r="C37" s="25" t="n">
        <v>0.0262</v>
      </c>
      <c r="D37" s="25" t="n">
        <v>0.0263</v>
      </c>
      <c r="E37" s="25" t="n">
        <v>0.025</v>
      </c>
      <c r="G37" s="15" t="s">
        <v>75</v>
      </c>
    </row>
    <row r="38" customFormat="false" ht="15" hidden="false" customHeight="false" outlineLevel="0" collapsed="false">
      <c r="A38" s="13" t="s">
        <v>76</v>
      </c>
      <c r="B38" s="25" t="n">
        <v>0.132</v>
      </c>
      <c r="C38" s="25" t="n">
        <v>0.15</v>
      </c>
      <c r="D38" s="25" t="n">
        <v>0.157</v>
      </c>
      <c r="E38" s="25" t="n">
        <v>0.146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4"/>
    <col collapsed="false" customWidth="true" hidden="false" outlineLevel="0" max="3" min="3" style="0" width="2"/>
    <col collapsed="false" customWidth="true" hidden="false" outlineLevel="0" max="7" min="4" style="0" width="12"/>
  </cols>
  <sheetData>
    <row r="1" customFormat="false" ht="21.75" hidden="false" customHeight="true" outlineLevel="0" collapsed="false">
      <c r="A1" s="6" t="s">
        <v>77</v>
      </c>
      <c r="B1" s="6"/>
      <c r="C1" s="6"/>
      <c r="D1" s="6"/>
      <c r="E1" s="6"/>
      <c r="F1" s="6"/>
      <c r="G1" s="6"/>
    </row>
    <row r="2" customFormat="false" ht="15" hidden="false" customHeight="false" outlineLevel="0" collapsed="false">
      <c r="A2" s="7" t="s">
        <v>78</v>
      </c>
      <c r="B2" s="7"/>
      <c r="C2" s="7"/>
      <c r="D2" s="7"/>
      <c r="E2" s="7"/>
      <c r="F2" s="7"/>
      <c r="G2" s="7"/>
    </row>
    <row r="4" customFormat="false" ht="15" hidden="false" customHeight="false" outlineLevel="0" collapsed="false">
      <c r="A4" s="27" t="s">
        <v>79</v>
      </c>
      <c r="B4" s="27"/>
    </row>
    <row r="5" customFormat="false" ht="15" hidden="false" customHeight="false" outlineLevel="0" collapsed="false">
      <c r="A5" s="13" t="s">
        <v>80</v>
      </c>
      <c r="B5" s="23" t="n">
        <v>334</v>
      </c>
    </row>
    <row r="6" customFormat="false" ht="15" hidden="false" customHeight="false" outlineLevel="0" collapsed="false">
      <c r="A6" s="13" t="s">
        <v>81</v>
      </c>
      <c r="B6" s="28" t="n">
        <f aca="false">Model!E24</f>
        <v>2695</v>
      </c>
    </row>
    <row r="7" customFormat="false" ht="15" hidden="false" customHeight="false" outlineLevel="0" collapsed="false">
      <c r="A7" s="17" t="s">
        <v>82</v>
      </c>
      <c r="B7" s="19" t="n">
        <f aca="false">B5*B6</f>
        <v>900130</v>
      </c>
    </row>
    <row r="9" customFormat="false" ht="15" hidden="false" customHeight="false" outlineLevel="0" collapsed="false">
      <c r="A9" s="27" t="s">
        <v>83</v>
      </c>
      <c r="B9" s="27"/>
    </row>
    <row r="10" customFormat="false" ht="15" hidden="false" customHeight="false" outlineLevel="0" collapsed="false">
      <c r="A10" s="13" t="s">
        <v>84</v>
      </c>
      <c r="B10" s="29" t="n">
        <f aca="false">B5/Model!E20</f>
        <v>16.6820107719928</v>
      </c>
    </row>
    <row r="11" customFormat="false" ht="15" hidden="false" customHeight="false" outlineLevel="0" collapsed="false">
      <c r="A11" s="13" t="s">
        <v>85</v>
      </c>
      <c r="B11" s="29" t="n">
        <f aca="false">B5/Model!E22</f>
        <v>2.63012835656351</v>
      </c>
    </row>
    <row r="12" customFormat="false" ht="15" hidden="false" customHeight="false" outlineLevel="0" collapsed="false">
      <c r="A12" s="13" t="s">
        <v>86</v>
      </c>
      <c r="B12" s="29" t="n">
        <f aca="false">B5/Model!E23</f>
        <v>3.10524358497583</v>
      </c>
    </row>
    <row r="13" customFormat="false" ht="15" hidden="false" customHeight="false" outlineLevel="0" collapsed="false">
      <c r="A13" s="13" t="s">
        <v>87</v>
      </c>
      <c r="B13" s="30" t="n">
        <f aca="false">Model!E21/B5</f>
        <v>0.0173652694610778</v>
      </c>
    </row>
    <row r="15" customFormat="false" ht="15" hidden="false" customHeight="false" outlineLevel="0" collapsed="false">
      <c r="A15" s="27" t="s">
        <v>88</v>
      </c>
      <c r="B15" s="27"/>
    </row>
    <row r="16" customFormat="false" ht="15" hidden="false" customHeight="false" outlineLevel="0" collapsed="false">
      <c r="A16" s="13" t="s">
        <v>89</v>
      </c>
      <c r="B16" s="25" t="n">
        <v>0.043</v>
      </c>
    </row>
    <row r="17" customFormat="false" ht="15" hidden="false" customHeight="false" outlineLevel="0" collapsed="false">
      <c r="A17" s="13" t="s">
        <v>90</v>
      </c>
      <c r="B17" s="31" t="n">
        <v>1</v>
      </c>
    </row>
    <row r="18" customFormat="false" ht="15" hidden="false" customHeight="false" outlineLevel="0" collapsed="false">
      <c r="A18" s="13" t="s">
        <v>91</v>
      </c>
      <c r="B18" s="25" t="n">
        <v>0.048</v>
      </c>
    </row>
    <row r="19" customFormat="false" ht="15" hidden="false" customHeight="false" outlineLevel="0" collapsed="false">
      <c r="A19" s="17" t="s">
        <v>92</v>
      </c>
      <c r="B19" s="32" t="n">
        <f aca="false">B16+B17*B18</f>
        <v>0.091</v>
      </c>
    </row>
    <row r="21" customFormat="false" ht="15" hidden="false" customHeight="false" outlineLevel="0" collapsed="false">
      <c r="A21" s="27" t="s">
        <v>93</v>
      </c>
      <c r="B21" s="27"/>
    </row>
    <row r="22" customFormat="false" ht="15" hidden="false" customHeight="false" outlineLevel="0" collapsed="false">
      <c r="A22" s="13" t="s">
        <v>94</v>
      </c>
      <c r="B22" s="33" t="n">
        <v>0.17</v>
      </c>
    </row>
    <row r="23" customFormat="false" ht="15" hidden="false" customHeight="false" outlineLevel="0" collapsed="false">
      <c r="A23" s="13" t="s">
        <v>95</v>
      </c>
      <c r="B23" s="33" t="n">
        <v>0.04</v>
      </c>
    </row>
    <row r="24" customFormat="false" ht="15" hidden="false" customHeight="false" outlineLevel="0" collapsed="false">
      <c r="A24" s="13" t="s">
        <v>96</v>
      </c>
      <c r="B24" s="34" t="n">
        <f aca="false">Model!E22</f>
        <v>126.99</v>
      </c>
    </row>
    <row r="26" customFormat="false" ht="15" hidden="false" customHeight="false" outlineLevel="0" collapsed="false">
      <c r="A26" s="27" t="s">
        <v>97</v>
      </c>
      <c r="B26" s="27"/>
    </row>
    <row r="27" customFormat="false" ht="15" hidden="false" customHeight="false" outlineLevel="0" collapsed="false">
      <c r="A27" s="17" t="s">
        <v>98</v>
      </c>
      <c r="B27" s="35" t="n">
        <f aca="false">(B22-B23)/(B19-B23)</f>
        <v>2.54901960784314</v>
      </c>
    </row>
    <row r="28" customFormat="false" ht="15" hidden="false" customHeight="false" outlineLevel="0" collapsed="false">
      <c r="A28" s="17" t="s">
        <v>99</v>
      </c>
      <c r="B28" s="36" t="n">
        <f aca="false">B27*B24</f>
        <v>323.7</v>
      </c>
    </row>
    <row r="29" customFormat="false" ht="15" hidden="false" customHeight="false" outlineLevel="0" collapsed="false">
      <c r="A29" s="17" t="s">
        <v>100</v>
      </c>
      <c r="B29" s="37" t="n">
        <f aca="false">B28/B5-1</f>
        <v>-0.0308383233532933</v>
      </c>
    </row>
    <row r="30" customFormat="false" ht="15" hidden="false" customHeight="false" outlineLevel="0" collapsed="false">
      <c r="A30" s="17" t="s">
        <v>101</v>
      </c>
      <c r="B30" s="38" t="str">
        <f aca="false">IF(B29&gt;0.1,"OVERWEIGHT / BUY",IF(B29&gt;-0.1,"NEUTRAL / HOLD","UNDERWEIGHT / SELL"))</f>
        <v>NEUTRAL / HOLD</v>
      </c>
    </row>
    <row r="32" customFormat="false" ht="15" hidden="false" customHeight="false" outlineLevel="0" collapsed="false">
      <c r="A32" s="27" t="s">
        <v>102</v>
      </c>
      <c r="B32" s="27"/>
    </row>
    <row r="33" customFormat="false" ht="15" hidden="false" customHeight="false" outlineLevel="0" collapsed="false">
      <c r="A33" s="17" t="s">
        <v>103</v>
      </c>
      <c r="B33" s="37" t="n">
        <f aca="false">B11*(B19-B23)+B23</f>
        <v>0.174136546184739</v>
      </c>
    </row>
    <row r="35" customFormat="false" ht="15" hidden="false" customHeight="false" outlineLevel="0" collapsed="false">
      <c r="A35" s="27" t="s">
        <v>104</v>
      </c>
      <c r="B35" s="27"/>
    </row>
    <row r="36" customFormat="false" ht="15" hidden="false" customHeight="false" outlineLevel="0" collapsed="false">
      <c r="D36" s="39" t="s">
        <v>105</v>
      </c>
      <c r="E36" s="40" t="n">
        <v>0.15</v>
      </c>
      <c r="F36" s="40" t="n">
        <v>0.16</v>
      </c>
      <c r="G36" s="40" t="n">
        <v>0.17</v>
      </c>
    </row>
    <row r="37" customFormat="false" ht="15" hidden="false" customHeight="false" outlineLevel="0" collapsed="false">
      <c r="D37" s="40" t="n">
        <v>0.085</v>
      </c>
      <c r="E37" s="41" t="n">
        <f aca="false">((E$36-$B$23)/($D37-$B$23))*$B$24</f>
        <v>310.42</v>
      </c>
      <c r="F37" s="41" t="n">
        <f aca="false">((F$36-$B$23)/($D37-$B$23))*$B$24</f>
        <v>338.64</v>
      </c>
      <c r="G37" s="41" t="n">
        <f aca="false">((G$36-$B$23)/($D37-$B$23))*$B$24</f>
        <v>366.86</v>
      </c>
    </row>
    <row r="38" customFormat="false" ht="15" hidden="false" customHeight="false" outlineLevel="0" collapsed="false">
      <c r="D38" s="40" t="n">
        <v>0.09</v>
      </c>
      <c r="E38" s="41" t="n">
        <f aca="false">((E$36-$B$23)/($D38-$B$23))*$B$24</f>
        <v>279.378</v>
      </c>
      <c r="F38" s="41" t="n">
        <f aca="false">((F$36-$B$23)/($D38-$B$23))*$B$24</f>
        <v>304.776</v>
      </c>
      <c r="G38" s="41" t="n">
        <f aca="false">((G$36-$B$23)/($D38-$B$23))*$B$24</f>
        <v>330.174</v>
      </c>
    </row>
    <row r="39" customFormat="false" ht="15" hidden="false" customHeight="false" outlineLevel="0" collapsed="false">
      <c r="D39" s="40" t="n">
        <v>0.095</v>
      </c>
      <c r="E39" s="41" t="n">
        <f aca="false">((E$36-$B$23)/($D39-$B$23))*$B$24</f>
        <v>253.98</v>
      </c>
      <c r="F39" s="41" t="n">
        <f aca="false">((F$36-$B$23)/($D39-$B$23))*$B$24</f>
        <v>277.069090909091</v>
      </c>
      <c r="G39" s="42" t="n">
        <f aca="false">((G$36-$B$23)/($D39-$B$23))*$B$24</f>
        <v>300.158181818182</v>
      </c>
    </row>
    <row r="40" customFormat="false" ht="15" hidden="false" customHeight="false" outlineLevel="0" collapsed="false">
      <c r="D40" s="40" t="n">
        <v>0.1</v>
      </c>
      <c r="E40" s="41" t="n">
        <f aca="false">((E$36-$B$23)/($D40-$B$23))*$B$24</f>
        <v>232.815</v>
      </c>
      <c r="F40" s="41" t="n">
        <f aca="false">((F$36-$B$23)/($D40-$B$23))*$B$24</f>
        <v>253.98</v>
      </c>
      <c r="G40" s="41" t="n">
        <f aca="false">((G$36-$B$23)/($D40-$B$23))*$B$24</f>
        <v>275.145</v>
      </c>
    </row>
    <row r="41" customFormat="false" ht="15" hidden="false" customHeight="false" outlineLevel="0" collapsed="false">
      <c r="D41" s="40" t="n">
        <v>0.105</v>
      </c>
      <c r="E41" s="41" t="n">
        <f aca="false">((E$36-$B$23)/($D41-$B$23))*$B$24</f>
        <v>214.906153846154</v>
      </c>
      <c r="F41" s="41" t="n">
        <f aca="false">((F$36-$B$23)/($D41-$B$23))*$B$24</f>
        <v>234.443076923077</v>
      </c>
      <c r="G41" s="41" t="n">
        <f aca="false">((G$36-$B$23)/($D41-$B$23))*$B$24</f>
        <v>253.98</v>
      </c>
    </row>
  </sheetData>
  <mergeCells count="9">
    <mergeCell ref="A1:G1"/>
    <mergeCell ref="A2:G2"/>
    <mergeCell ref="A4:B4"/>
    <mergeCell ref="A9:B9"/>
    <mergeCell ref="A15:B15"/>
    <mergeCell ref="A21:B21"/>
    <mergeCell ref="A26:B26"/>
    <mergeCell ref="A32:B32"/>
    <mergeCell ref="A35:B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2026-06-25T12:10:57Z</dcterms:created>
  <dc:creator>openpyxl</dc:creator>
  <dc:description/>
  <dc:language>en-US</dc:language>
  <cp:lastModifiedBy/>
  <dcterms:modified xsi:type="dcterms:W3CDTF">2026-06-25T12:10:57Z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